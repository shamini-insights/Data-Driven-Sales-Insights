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E000884-163E-4396-A801-C3A810A48DF1}" xr6:coauthVersionLast="47" xr6:coauthVersionMax="47" xr10:uidLastSave="{00000000-0000-0000-0000-000000000000}"/>
  <bookViews>
    <workbookView xWindow="-108" yWindow="-108" windowWidth="23256" windowHeight="12456" xr2:uid="{37DA632D-CFEF-422B-91A3-DC120467D844}"/>
  </bookViews>
  <sheets>
    <sheet name="Cleaned_Data" sheetId="2" r:id="rId1"/>
    <sheet name="Pivots" sheetId="3" state="hidden" r:id="rId2"/>
  </sheets>
  <definedNames>
    <definedName name="ExternalData_1" localSheetId="0" hidden="1">'Cleaned_Data'!$A$1:$K$48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968187-9F18-44E8-B9C5-DEB5AF61982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<sst xmlns="http://schemas.openxmlformats.org/spreadsheetml/2006/main" count="279" uniqueCount="91">
  <si>
    <t>country_code</t>
  </si>
  <si>
    <t>region</t>
  </si>
  <si>
    <t>sub_region</t>
  </si>
  <si>
    <t>Afghanistan</t>
  </si>
  <si>
    <t>Asia</t>
  </si>
  <si>
    <t>Southern Asia</t>
  </si>
  <si>
    <t>Boneless Meat Of Bovine Animals , Frozen</t>
  </si>
  <si>
    <t>Other Scampi</t>
  </si>
  <si>
    <t>*Mixed Vegetables</t>
  </si>
  <si>
    <t>Armenia</t>
  </si>
  <si>
    <t>Western Asia</t>
  </si>
  <si>
    <t>Azerbaijan</t>
  </si>
  <si>
    <t>Bahrain</t>
  </si>
  <si>
    <t>Boneless Meat Of Bovn Anmls, Frsh Or Chld</t>
  </si>
  <si>
    <t>Othr Edible Offal Of Bovine Animals,Frozen</t>
  </si>
  <si>
    <t>Freshwater Ornamental Fish</t>
  </si>
  <si>
    <t>Other Salmonide Fresh Or Chilled Excl Of Heading 030291 To 030299</t>
  </si>
  <si>
    <t>Grapes Fresh</t>
  </si>
  <si>
    <t>Black Tea In Packt&gt;25 Gm But&lt;=1 Kg</t>
  </si>
  <si>
    <t>Bangladesh</t>
  </si>
  <si>
    <t>Onions Dried</t>
  </si>
  <si>
    <t>Other Seeds Of Cummin Excl. Black; Neither Crushed Nor Ground</t>
  </si>
  <si>
    <t>Bhutan</t>
  </si>
  <si>
    <t>Meat/Edbl Ofal Of Fowls Of The Spcs Gals Domesticus Not Cut In Pieces,Fres/Chilled</t>
  </si>
  <si>
    <t>Brunei Darussalam</t>
  </si>
  <si>
    <t>South-eastern Asia</t>
  </si>
  <si>
    <t>Cambodia</t>
  </si>
  <si>
    <t>China</t>
  </si>
  <si>
    <t>Eastern Asia</t>
  </si>
  <si>
    <t>Other Tunas Frozen Excl Of Heading 030391 To 030399</t>
  </si>
  <si>
    <t>Crabs Frozen</t>
  </si>
  <si>
    <t>Human Hair,Unworked; Whethr Or Not Washd Or Scoured</t>
  </si>
  <si>
    <t>Cyprus</t>
  </si>
  <si>
    <t>Democratic People's Republic of Korea</t>
  </si>
  <si>
    <t>Georgia</t>
  </si>
  <si>
    <t>Indonesia</t>
  </si>
  <si>
    <t>Iraq</t>
  </si>
  <si>
    <t>Islamic Republic of Iran</t>
  </si>
  <si>
    <t>Israel</t>
  </si>
  <si>
    <t>Japan</t>
  </si>
  <si>
    <t>Other Ornamental Fish</t>
  </si>
  <si>
    <t>Jordan</t>
  </si>
  <si>
    <t>Kazakhstan</t>
  </si>
  <si>
    <t>Central Asia</t>
  </si>
  <si>
    <t>Kuwait</t>
  </si>
  <si>
    <t>Kyrgyzstan</t>
  </si>
  <si>
    <t>Lao People's Democratic Republic</t>
  </si>
  <si>
    <t>Lebanon</t>
  </si>
  <si>
    <t>Macao</t>
  </si>
  <si>
    <t>Malaysia</t>
  </si>
  <si>
    <t>Maldives</t>
  </si>
  <si>
    <t>Live Goats</t>
  </si>
  <si>
    <t>Mongolia</t>
  </si>
  <si>
    <t>Myanmar</t>
  </si>
  <si>
    <t>Nepal</t>
  </si>
  <si>
    <t>Pure-Bred Breeding Asses</t>
  </si>
  <si>
    <t>Oman</t>
  </si>
  <si>
    <t>Pakistan</t>
  </si>
  <si>
    <t>Philippines</t>
  </si>
  <si>
    <t>Qatar</t>
  </si>
  <si>
    <t>Republic of Korea</t>
  </si>
  <si>
    <t>Saudi Arabia</t>
  </si>
  <si>
    <t>Sri Lanka</t>
  </si>
  <si>
    <t>Syrian Arab Republic</t>
  </si>
  <si>
    <t>Taiwan, Province of China</t>
  </si>
  <si>
    <t>Frsh Or Chld Fillets Of Seer</t>
  </si>
  <si>
    <t>Tajikistan</t>
  </si>
  <si>
    <t>Thailand</t>
  </si>
  <si>
    <t>Timor-Leste</t>
  </si>
  <si>
    <t>Turkmenistan</t>
  </si>
  <si>
    <t>Turkiye</t>
  </si>
  <si>
    <t>United Arab Emirates</t>
  </si>
  <si>
    <t>Uzbekistan</t>
  </si>
  <si>
    <t>Viet Nam</t>
  </si>
  <si>
    <t>Yemen</t>
  </si>
  <si>
    <t>Quantity</t>
  </si>
  <si>
    <t>Value_INR</t>
  </si>
  <si>
    <t>Value_USD</t>
  </si>
  <si>
    <t>Product_ID</t>
  </si>
  <si>
    <t>ID</t>
  </si>
  <si>
    <t>Date</t>
  </si>
  <si>
    <t>Country_name</t>
  </si>
  <si>
    <t>Product_Name</t>
  </si>
  <si>
    <t>Row Labels</t>
  </si>
  <si>
    <t>Grand Total</t>
  </si>
  <si>
    <t>Sum of Value_INR</t>
  </si>
  <si>
    <t>Sum of Quantity</t>
  </si>
  <si>
    <t>Mixed Vegetables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</si>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</sst>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ILKUMAR1" refreshedDate="46122.597803240744" createdVersion="8" refreshedVersion="8" minRefreshableVersion="3" recordCount="47" xr:uid="{87859332-4369-4F56-9468-B8A7F7E025D2}">
  <cacheSource type="worksheet">
    <worksheetSource name="Cleaned_Data"/>
  </cacheSource>
  <cacheFields count="14">
    <cacheField name="ID" numFmtId="0">
      <sharedItems containsSemiMixedTypes="0" containsString="0" containsNumber="1" containsInteger="1" minValue="0" maxValue="42977"/>
    </cacheField>
    <cacheField name="Date" numFmtId="14">
      <sharedItems containsSemiMixedTypes="0" containsNonDate="0" containsDate="1" containsString="0" minDate="2015-01-01T00:00:00" maxDate="2015-01-02T00:00:00"/>
    </cacheField>
    <cacheField name="Country_name" numFmtId="0">
      <sharedItems count="47">
        <s v="Afghanistan"/>
        <s v="Armenia"/>
        <s v="Azerbaijan"/>
        <s v="Bahrain"/>
        <s v="Bangladesh"/>
        <s v="Bhutan"/>
        <s v="Brunei Darussalam"/>
        <s v="Cambodia"/>
        <s v="China"/>
        <s v="Cyprus"/>
        <s v="Democratic People's Republic of Korea"/>
        <s v="Georgia"/>
        <s v="Indonesia"/>
        <s v="Iraq"/>
        <s v="Islamic Republic of Iran"/>
        <s v="Israel"/>
        <s v="Japan"/>
        <s v="Jordan"/>
        <s v="Kazakhstan"/>
        <s v="Kuwait"/>
        <s v="Kyrgyzstan"/>
        <s v="Lao People's Democratic Republic"/>
        <s v="Lebanon"/>
        <s v="Macao"/>
        <s v="Malaysia"/>
        <s v="Maldives"/>
        <s v="Mongolia"/>
        <s v="Myanmar"/>
        <s v="Nepal"/>
        <s v="Oman"/>
        <s v="Pakistan"/>
        <s v="Philippines"/>
        <s v="Qatar"/>
        <s v="Republic of Korea"/>
        <s v="Saudi Arabia"/>
        <s v="Sri Lanka"/>
        <s v="Syrian Arab Republic"/>
        <s v="Taiwan, Province of China"/>
        <s v="Tajikistan"/>
        <s v="Thailand"/>
        <s v="Timor-Leste"/>
        <s v="Turkmenistan"/>
        <s v="Turkiye"/>
        <s v="United Arab Emirates"/>
        <s v="Uzbekistan"/>
        <s v="Viet Nam"/>
        <s v="Yemen"/>
      </sharedItems>
    </cacheField>
    <cacheField name="country_code" numFmtId="0">
      <sharedItems containsSemiMixedTypes="0" containsString="0" containsNumber="1" containsInteger="1" minValue="4" maxValue="887"/>
    </cacheField>
    <cacheField name="region" numFmtId="0">
      <sharedItems/>
    </cacheField>
    <cacheField name="sub_region" numFmtId="0">
      <sharedItems/>
    </cacheField>
    <cacheField name="Product_ID" numFmtId="0">
      <sharedItems containsSemiMixedTypes="0" containsString="0" containsNumber="1" containsInteger="1" minValue="1013010" maxValue="9093129"/>
    </cacheField>
    <cacheField name="Product_Name" numFmtId="0">
      <sharedItems count="19">
        <s v="Boneless Meat Of Bovine Animals , Frozen"/>
        <s v="Boneless Meat Of Bovn Anmls, Frsh Or Chld"/>
        <s v="Other Salmonide Fresh Or Chilled Excl Of Heading 030291 To 030299"/>
        <s v="Meat/Edbl Ofal Of Fowls Of The Spcs Gals Domesticus Not Cut In Pieces,Fres/Chilled"/>
        <s v="Grapes Fresh"/>
        <s v="Freshwater Ornamental Fish"/>
        <s v="Crabs Frozen"/>
        <s v="Other Tunas Frozen Excl Of Heading 030391 To 030399"/>
        <s v="Onions Dried"/>
        <s v="Othr Edible Offal Of Bovine Animals,Frozen"/>
        <s v="Black Tea In Packt&gt;25 Gm But&lt;=1 Kg"/>
        <s v="*Mixed Vegetables"/>
        <s v="Live Goats"/>
        <s v="Human Hair,Unworked; Whethr Or Not Washd Or Scoured"/>
        <s v="Pure-Bred Breeding Asses"/>
        <s v="Other Ornamental Fish"/>
        <s v="Frsh Or Chld Fillets Of Seer"/>
        <s v="Other Scampi"/>
        <s v="Other Seeds Of Cummin Excl. Black; Neither Crushed Nor Ground"/>
      </sharedItems>
    </cacheField>
    <cacheField name="Quantity" numFmtId="0">
      <sharedItems containsSemiMixedTypes="0" containsString="0" containsNumber="1" minValue="0.01" maxValue="45833.7"/>
    </cacheField>
    <cacheField name="Value_INR" numFmtId="0">
      <sharedItems containsSemiMixedTypes="0" containsString="0" containsNumber="1" minValue="0.1" maxValue="96231.35"/>
    </cacheField>
    <cacheField name="INR Category" numFmtId="0">
      <sharedItems count="3">
        <s v="LOW"/>
        <s v="MEDIUM"/>
        <s v="HIGH"/>
      </sharedItems>
    </cacheField>
    <cacheField name="Price per Unit" numFmtId="2">
      <sharedItems containsSemiMixedTypes="0" containsString="0" containsNumber="1" minValue="0.32454810357489755" maxValue="60.7"/>
    </cacheField>
    <cacheField name="Value_USD" numFmtId="164">
      <sharedItems containsSemiMixedTypes="0" containsString="0" containsNumber="1" minValue="0" maxValue="154.65"/>
    </cacheField>
    <cacheField name="Quantity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0"/>
    <d v="2015-01-01T00:00:00"/>
    <x v="0"/>
    <n v="4"/>
    <s v="Asia"/>
    <s v="Southern Asia"/>
    <n v="2023000"/>
    <x v="0"/>
    <n v="337"/>
    <n v="347.09"/>
    <x v="0"/>
    <n v="1.0299406528189909"/>
    <n v="0.56000000000000005"/>
    <s v="NORMAL"/>
  </r>
  <r>
    <n v="357"/>
    <d v="2015-01-01T00:00:00"/>
    <x v="1"/>
    <n v="51"/>
    <s v="Asia"/>
    <s v="Western Asia"/>
    <n v="2023000"/>
    <x v="0"/>
    <n v="26"/>
    <n v="64.010000000000005"/>
    <x v="0"/>
    <n v="2.4619230769230773"/>
    <n v="0.1"/>
    <s v="NORMAL"/>
  </r>
  <r>
    <n v="394"/>
    <d v="2015-01-01T00:00:00"/>
    <x v="2"/>
    <n v="31"/>
    <s v="Asia"/>
    <s v="Western Asia"/>
    <n v="2023000"/>
    <x v="0"/>
    <n v="620"/>
    <n v="1397.41"/>
    <x v="1"/>
    <n v="2.2538870967741937"/>
    <n v="2.25"/>
    <s v="BULK"/>
  </r>
  <r>
    <n v="454"/>
    <d v="2015-01-01T00:00:00"/>
    <x v="3"/>
    <n v="48"/>
    <s v="Asia"/>
    <s v="Western Asia"/>
    <n v="2013000"/>
    <x v="1"/>
    <n v="14.86"/>
    <n v="39.74"/>
    <x v="0"/>
    <n v="2.6742934051144012"/>
    <n v="0.06"/>
    <s v="NORMAL"/>
  </r>
  <r>
    <n v="1406"/>
    <d v="2015-01-01T00:00:00"/>
    <x v="4"/>
    <n v="50"/>
    <s v="Asia"/>
    <s v="Southern Asia"/>
    <n v="3021900"/>
    <x v="2"/>
    <n v="2532.66"/>
    <n v="821.97"/>
    <x v="0"/>
    <n v="0.32454810357489755"/>
    <n v="1.32"/>
    <s v="BULK"/>
  </r>
  <r>
    <n v="3929"/>
    <d v="2015-01-01T00:00:00"/>
    <x v="5"/>
    <n v="64"/>
    <s v="Asia"/>
    <s v="Southern Asia"/>
    <n v="2071100"/>
    <x v="3"/>
    <n v="52.35"/>
    <n v="57.98"/>
    <x v="0"/>
    <n v="1.1075453677172873"/>
    <n v="0.09"/>
    <s v="NORMAL"/>
  </r>
  <r>
    <n v="4136"/>
    <d v="2015-01-01T00:00:00"/>
    <x v="6"/>
    <n v="96"/>
    <s v="Asia"/>
    <s v="South-eastern Asia"/>
    <n v="2023000"/>
    <x v="0"/>
    <n v="112"/>
    <n v="316"/>
    <x v="0"/>
    <n v="2.8214285714285716"/>
    <n v="0.51"/>
    <s v="NORMAL"/>
  </r>
  <r>
    <n v="4271"/>
    <d v="2015-01-01T00:00:00"/>
    <x v="7"/>
    <n v="116"/>
    <s v="Asia"/>
    <s v="South-eastern Asia"/>
    <n v="8061000"/>
    <x v="4"/>
    <n v="54.5"/>
    <n v="84.51"/>
    <x v="0"/>
    <n v="1.5506422018348625"/>
    <n v="0.14000000000000001"/>
    <s v="NORMAL"/>
  </r>
  <r>
    <n v="4482"/>
    <d v="2015-01-01T00:00:00"/>
    <x v="8"/>
    <n v="156"/>
    <s v="Asia"/>
    <s v="Eastern Asia"/>
    <n v="3011100"/>
    <x v="5"/>
    <n v="0.28000000000000003"/>
    <n v="0.4"/>
    <x v="0"/>
    <n v="1.4285714285714286"/>
    <n v="0"/>
    <s v="NORMAL"/>
  </r>
  <r>
    <n v="6157"/>
    <d v="2015-01-01T00:00:00"/>
    <x v="9"/>
    <n v="196"/>
    <s v="Asia"/>
    <s v="Western Asia"/>
    <n v="3061400"/>
    <x v="6"/>
    <n v="1.08"/>
    <n v="3.11"/>
    <x v="0"/>
    <n v="2.8796296296296293"/>
    <n v="0"/>
    <s v="NORMAL"/>
  </r>
  <r>
    <n v="6308"/>
    <d v="2015-01-01T00:00:00"/>
    <x v="10"/>
    <n v="408"/>
    <s v="Asia"/>
    <s v="Eastern Asia"/>
    <n v="3034900"/>
    <x v="7"/>
    <n v="96"/>
    <n v="200.7"/>
    <x v="0"/>
    <n v="2.0906249999999997"/>
    <n v="0.32"/>
    <s v="NORMAL"/>
  </r>
  <r>
    <n v="6447"/>
    <d v="2015-01-01T00:00:00"/>
    <x v="11"/>
    <n v="268"/>
    <s v="Asia"/>
    <s v="Western Asia"/>
    <n v="7122000"/>
    <x v="8"/>
    <n v="8"/>
    <n v="10.61"/>
    <x v="0"/>
    <n v="1.3262499999999999"/>
    <n v="0.02"/>
    <s v="NORMAL"/>
  </r>
  <r>
    <n v="7800"/>
    <d v="2015-01-01T00:00:00"/>
    <x v="12"/>
    <n v="360"/>
    <s v="Asia"/>
    <s v="South-eastern Asia"/>
    <n v="2062900"/>
    <x v="9"/>
    <n v="56"/>
    <n v="39.33"/>
    <x v="0"/>
    <n v="0.70232142857142854"/>
    <n v="0.06"/>
    <s v="NORMAL"/>
  </r>
  <r>
    <n v="9112"/>
    <d v="2015-01-01T00:00:00"/>
    <x v="13"/>
    <n v="368"/>
    <s v="Asia"/>
    <s v="Western Asia"/>
    <n v="2023000"/>
    <x v="0"/>
    <n v="3867.13"/>
    <n v="6667.51"/>
    <x v="2"/>
    <n v="1.7241494338178442"/>
    <n v="10.72"/>
    <s v="BULK"/>
  </r>
  <r>
    <n v="9490"/>
    <d v="2015-01-01T00:00:00"/>
    <x v="14"/>
    <n v="364"/>
    <s v="Asia"/>
    <s v="Southern Asia"/>
    <n v="2023000"/>
    <x v="0"/>
    <n v="162"/>
    <n v="202.44"/>
    <x v="0"/>
    <n v="1.2496296296296296"/>
    <n v="0.33"/>
    <s v="NORMAL"/>
  </r>
  <r>
    <n v="10600"/>
    <d v="2015-01-01T00:00:00"/>
    <x v="15"/>
    <n v="376"/>
    <s v="Asia"/>
    <s v="Western Asia"/>
    <n v="3011100"/>
    <x v="5"/>
    <n v="0.09"/>
    <n v="0.91"/>
    <x v="0"/>
    <n v="10.111111111111112"/>
    <n v="0"/>
    <s v="NORMAL"/>
  </r>
  <r>
    <n v="11502"/>
    <d v="2015-01-01T00:00:00"/>
    <x v="16"/>
    <n v="392"/>
    <s v="Asia"/>
    <s v="Eastern Asia"/>
    <n v="3011100"/>
    <x v="5"/>
    <n v="0.74"/>
    <n v="4.03"/>
    <x v="0"/>
    <n v="5.4459459459459465"/>
    <n v="0.01"/>
    <s v="NORMAL"/>
  </r>
  <r>
    <n v="13174"/>
    <d v="2015-01-01T00:00:00"/>
    <x v="17"/>
    <n v="400"/>
    <s v="Asia"/>
    <s v="Western Asia"/>
    <n v="2013000"/>
    <x v="1"/>
    <n v="46"/>
    <n v="127.22"/>
    <x v="0"/>
    <n v="2.7656521739130433"/>
    <n v="0.2"/>
    <s v="NORMAL"/>
  </r>
  <r>
    <n v="13741"/>
    <d v="2015-01-01T00:00:00"/>
    <x v="18"/>
    <n v="398"/>
    <s v="Asia"/>
    <s v="Central Asia"/>
    <n v="9023020"/>
    <x v="10"/>
    <n v="10.35"/>
    <n v="18.46"/>
    <x v="0"/>
    <n v="1.7835748792270534"/>
    <n v="0.03"/>
    <s v="NORMAL"/>
  </r>
  <r>
    <n v="13916"/>
    <d v="2015-01-01T00:00:00"/>
    <x v="19"/>
    <n v="414"/>
    <s v="Asia"/>
    <s v="Western Asia"/>
    <n v="2013000"/>
    <x v="1"/>
    <n v="32.22"/>
    <n v="86.38"/>
    <x v="0"/>
    <n v="2.6809435133457478"/>
    <n v="0.14000000000000001"/>
    <s v="NORMAL"/>
  </r>
  <r>
    <n v="15181"/>
    <d v="2015-01-01T00:00:00"/>
    <x v="20"/>
    <n v="417"/>
    <s v="Asia"/>
    <s v="Central Asia"/>
    <n v="2023000"/>
    <x v="0"/>
    <n v="56"/>
    <n v="92.25"/>
    <x v="0"/>
    <n v="1.6473214285714286"/>
    <n v="0.15"/>
    <s v="NORMAL"/>
  </r>
  <r>
    <n v="15289"/>
    <d v="2015-01-01T00:00:00"/>
    <x v="21"/>
    <n v="418"/>
    <s v="Asia"/>
    <s v="South-eastern Asia"/>
    <n v="2023000"/>
    <x v="0"/>
    <n v="1151"/>
    <n v="2324.41"/>
    <x v="2"/>
    <n v="2.0194700260642917"/>
    <n v="3.74"/>
    <s v="BULK"/>
  </r>
  <r>
    <n v="15329"/>
    <d v="2015-01-01T00:00:00"/>
    <x v="22"/>
    <n v="422"/>
    <s v="Asia"/>
    <s v="Western Asia"/>
    <n v="2023000"/>
    <x v="0"/>
    <n v="628"/>
    <n v="1165.83"/>
    <x v="1"/>
    <n v="1.8564171974522292"/>
    <n v="1.87"/>
    <s v="BULK"/>
  </r>
  <r>
    <n v="15699"/>
    <d v="2015-01-01T00:00:00"/>
    <x v="23"/>
    <n v="446"/>
    <s v="Asia"/>
    <s v="Eastern Asia"/>
    <n v="7099920"/>
    <x v="11"/>
    <n v="0.34"/>
    <n v="0.22"/>
    <x v="0"/>
    <n v="0.64705882352941169"/>
    <n v="0"/>
    <s v="NORMAL"/>
  </r>
  <r>
    <n v="15711"/>
    <d v="2015-01-01T00:00:00"/>
    <x v="24"/>
    <n v="458"/>
    <s v="Asia"/>
    <s v="South-eastern Asia"/>
    <n v="2023000"/>
    <x v="0"/>
    <n v="13327"/>
    <n v="26133.72"/>
    <x v="2"/>
    <n v="1.9609604562167031"/>
    <n v="42"/>
    <s v="BULK"/>
  </r>
  <r>
    <n v="17709"/>
    <d v="2015-01-01T00:00:00"/>
    <x v="25"/>
    <n v="462"/>
    <s v="Asia"/>
    <s v="Southern Asia"/>
    <n v="1042000"/>
    <x v="12"/>
    <n v="0.2"/>
    <n v="12.14"/>
    <x v="0"/>
    <n v="60.7"/>
    <n v="0.02"/>
    <s v="NORMAL"/>
  </r>
  <r>
    <n v="18488"/>
    <d v="2015-01-01T00:00:00"/>
    <x v="26"/>
    <n v="496"/>
    <s v="Asia"/>
    <s v="Eastern Asia"/>
    <n v="2023000"/>
    <x v="0"/>
    <n v="0.1"/>
    <n v="0.1"/>
    <x v="0"/>
    <n v="1"/>
    <n v="0"/>
    <s v="NORMAL"/>
  </r>
  <r>
    <n v="18545"/>
    <d v="2015-01-01T00:00:00"/>
    <x v="27"/>
    <n v="104"/>
    <s v="Asia"/>
    <s v="South-eastern Asia"/>
    <n v="5010010"/>
    <x v="13"/>
    <n v="21.08"/>
    <n v="42.4"/>
    <x v="0"/>
    <n v="2.011385199240987"/>
    <n v="7.0000000000000007E-2"/>
    <s v="NORMAL"/>
  </r>
  <r>
    <n v="19125"/>
    <d v="2015-01-01T00:00:00"/>
    <x v="28"/>
    <n v="524"/>
    <s v="Asia"/>
    <s v="Southern Asia"/>
    <n v="1013010"/>
    <x v="14"/>
    <n v="0.01"/>
    <n v="0.6"/>
    <x v="0"/>
    <n v="60"/>
    <n v="0"/>
    <s v="NORMAL"/>
  </r>
  <r>
    <n v="22104"/>
    <d v="2015-01-01T00:00:00"/>
    <x v="29"/>
    <n v="512"/>
    <s v="Asia"/>
    <s v="Western Asia"/>
    <n v="2013000"/>
    <x v="1"/>
    <n v="58.6"/>
    <n v="160.24"/>
    <x v="0"/>
    <n v="2.7344709897610922"/>
    <n v="0.26"/>
    <s v="NORMAL"/>
  </r>
  <r>
    <n v="23407"/>
    <d v="2015-01-01T00:00:00"/>
    <x v="30"/>
    <n v="586"/>
    <s v="Asia"/>
    <s v="Southern Asia"/>
    <n v="2023000"/>
    <x v="0"/>
    <n v="309"/>
    <n v="146.18"/>
    <x v="0"/>
    <n v="0.47307443365695795"/>
    <n v="0.23"/>
    <s v="NORMAL"/>
  </r>
  <r>
    <n v="24290"/>
    <d v="2015-01-01T00:00:00"/>
    <x v="31"/>
    <n v="608"/>
    <s v="Asia"/>
    <s v="South-eastern Asia"/>
    <n v="2023000"/>
    <x v="0"/>
    <n v="3107.39"/>
    <n v="5200.1000000000004"/>
    <x v="2"/>
    <n v="1.6734622947232245"/>
    <n v="8.36"/>
    <s v="BULK"/>
  </r>
  <r>
    <n v="25277"/>
    <d v="2015-01-01T00:00:00"/>
    <x v="32"/>
    <n v="634"/>
    <s v="Asia"/>
    <s v="Western Asia"/>
    <n v="2013000"/>
    <x v="1"/>
    <n v="56.76"/>
    <n v="153.62"/>
    <x v="0"/>
    <n v="2.7064834390415786"/>
    <n v="0.25"/>
    <s v="NORMAL"/>
  </r>
  <r>
    <n v="26275"/>
    <d v="2015-01-01T00:00:00"/>
    <x v="33"/>
    <n v="410"/>
    <s v="Asia"/>
    <s v="Eastern Asia"/>
    <n v="2023000"/>
    <x v="0"/>
    <n v="19"/>
    <n v="24.5"/>
    <x v="0"/>
    <n v="1.2894736842105263"/>
    <n v="0.04"/>
    <s v="NORMAL"/>
  </r>
  <r>
    <n v="27512"/>
    <d v="2015-01-01T00:00:00"/>
    <x v="34"/>
    <n v="682"/>
    <s v="Asia"/>
    <s v="Western Asia"/>
    <n v="2013000"/>
    <x v="1"/>
    <n v="325.14"/>
    <n v="1019.93"/>
    <x v="1"/>
    <n v="3.1368948760533923"/>
    <n v="1.64"/>
    <s v="NORMAL"/>
  </r>
  <r>
    <n v="31577"/>
    <d v="2015-01-01T00:00:00"/>
    <x v="35"/>
    <n v="144"/>
    <s v="Asia"/>
    <s v="Southern Asia"/>
    <n v="3021900"/>
    <x v="2"/>
    <n v="4.25"/>
    <n v="7.99"/>
    <x v="0"/>
    <n v="1.8800000000000001"/>
    <n v="0.01"/>
    <s v="NORMAL"/>
  </r>
  <r>
    <n v="33968"/>
    <d v="2015-01-01T00:00:00"/>
    <x v="36"/>
    <n v="760"/>
    <s v="Asia"/>
    <s v="Western Asia"/>
    <n v="2023000"/>
    <x v="0"/>
    <n v="84"/>
    <n v="181.11"/>
    <x v="0"/>
    <n v="2.1560714285714289"/>
    <n v="0.28999999999999998"/>
    <s v="NORMAL"/>
  </r>
  <r>
    <n v="34143"/>
    <d v="2015-01-01T00:00:00"/>
    <x v="37"/>
    <n v="158"/>
    <s v="Asia"/>
    <s v="Eastern Asia"/>
    <n v="3011900"/>
    <x v="15"/>
    <n v="0.35"/>
    <n v="1.76"/>
    <x v="0"/>
    <n v="5.0285714285714294"/>
    <n v="0"/>
    <s v="NORMAL"/>
  </r>
  <r>
    <n v="35108"/>
    <d v="2015-01-01T00:00:00"/>
    <x v="38"/>
    <n v="762"/>
    <s v="Asia"/>
    <s v="Central Asia"/>
    <n v="2023000"/>
    <x v="0"/>
    <n v="990"/>
    <n v="1994.12"/>
    <x v="1"/>
    <n v="2.0142626262626262"/>
    <n v="3.2"/>
    <s v="BULK"/>
  </r>
  <r>
    <n v="35154"/>
    <d v="2015-01-01T00:00:00"/>
    <x v="39"/>
    <n v="764"/>
    <s v="Asia"/>
    <s v="South-eastern Asia"/>
    <n v="2023000"/>
    <x v="0"/>
    <n v="14053.86"/>
    <n v="30171.93"/>
    <x v="2"/>
    <n v="2.1468785088224873"/>
    <n v="48.49"/>
    <s v="BULK"/>
  </r>
  <r>
    <n v="36738"/>
    <d v="2015-01-01T00:00:00"/>
    <x v="40"/>
    <n v="626"/>
    <s v="Asia"/>
    <s v="South-eastern Asia"/>
    <n v="3044930"/>
    <x v="16"/>
    <n v="0.63"/>
    <n v="3.37"/>
    <x v="0"/>
    <n v="5.3492063492063497"/>
    <n v="0.01"/>
    <s v="NORMAL"/>
  </r>
  <r>
    <n v="36747"/>
    <d v="2015-01-01T00:00:00"/>
    <x v="41"/>
    <n v="795"/>
    <s v="Asia"/>
    <s v="Central Asia"/>
    <n v="2023000"/>
    <x v="0"/>
    <n v="2702"/>
    <n v="4367.38"/>
    <x v="2"/>
    <n v="1.6163508512213176"/>
    <n v="7.02"/>
    <s v="BULK"/>
  </r>
  <r>
    <n v="36813"/>
    <d v="2015-01-01T00:00:00"/>
    <x v="42"/>
    <n v="792"/>
    <s v="Asia"/>
    <s v="Western Asia"/>
    <n v="3061719"/>
    <x v="17"/>
    <n v="116"/>
    <n v="606.79999999999995"/>
    <x v="0"/>
    <n v="5.2310344827586199"/>
    <n v="0.98"/>
    <s v="NORMAL"/>
  </r>
  <r>
    <n v="38081"/>
    <d v="2015-01-01T00:00:00"/>
    <x v="43"/>
    <n v="784"/>
    <s v="Asia"/>
    <s v="Western Asia"/>
    <n v="2013000"/>
    <x v="1"/>
    <n v="436.4"/>
    <n v="1287.79"/>
    <x v="1"/>
    <n v="2.9509395050412466"/>
    <n v="2.0699999999999998"/>
    <s v="NORMAL"/>
  </r>
  <r>
    <n v="41704"/>
    <d v="2015-01-01T00:00:00"/>
    <x v="44"/>
    <n v="860"/>
    <s v="Asia"/>
    <s v="Central Asia"/>
    <n v="9093129"/>
    <x v="18"/>
    <n v="48"/>
    <n v="62.28"/>
    <x v="0"/>
    <n v="1.2975000000000001"/>
    <n v="0.1"/>
    <s v="NORMAL"/>
  </r>
  <r>
    <n v="41922"/>
    <d v="2015-01-01T00:00:00"/>
    <x v="45"/>
    <n v="704"/>
    <s v="Asia"/>
    <s v="South-eastern Asia"/>
    <n v="2023000"/>
    <x v="0"/>
    <n v="45833.7"/>
    <n v="96231.35"/>
    <x v="2"/>
    <n v="2.0995762942987368"/>
    <n v="154.65"/>
    <s v="BULK"/>
  </r>
  <r>
    <n v="42977"/>
    <d v="2015-01-01T00:00:00"/>
    <x v="46"/>
    <n v="887"/>
    <s v="Asia"/>
    <s v="Western Asia"/>
    <n v="2023000"/>
    <x v="0"/>
    <n v="197"/>
    <n v="311.51"/>
    <x v="0"/>
    <n v="1.5812690355329948"/>
    <n v="0.5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BAF38-6A33-4A46-8E2E-7E8113071D59}" name="Product Performan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6:C76" firstHeaderRow="0" firstDataRow="1" firstDataCol="1"/>
  <pivotFields count="14">
    <pivotField showAll="0"/>
    <pivotField numFmtId="14" showAll="0"/>
    <pivotField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2"/>
        <item x="41"/>
        <item x="43"/>
        <item x="44"/>
        <item x="45"/>
        <item x="46"/>
        <item t="default"/>
      </items>
    </pivotField>
    <pivotField showAll="0"/>
    <pivotField showAll="0"/>
    <pivotField showAll="0"/>
    <pivotField showAll="0"/>
    <pivotField axis="axisRow" showAll="0">
      <items count="20">
        <item x="11"/>
        <item x="10"/>
        <item x="0"/>
        <item x="1"/>
        <item x="6"/>
        <item x="5"/>
        <item x="16"/>
        <item x="4"/>
        <item x="13"/>
        <item x="12"/>
        <item x="3"/>
        <item x="8"/>
        <item x="15"/>
        <item x="2"/>
        <item x="17"/>
        <item x="18"/>
        <item x="7"/>
        <item x="9"/>
        <item x="14"/>
        <item t="default"/>
      </items>
    </pivotField>
    <pivotField dataField="1" showAll="0"/>
    <pivotField dataField="1" showAll="0"/>
    <pivotField showAll="0"/>
    <pivotField numFmtId="2" showAll="0"/>
    <pivotField numFmtId="164" showAll="0"/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Value_INR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66B85-D06C-4D51-8A72-F514C7B6DE6C}" name="Total Sales by count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1" firstHeaderRow="1" firstDataRow="1" firstDataCol="1"/>
  <pivotFields count="14">
    <pivotField showAll="0"/>
    <pivotField numFmtId="14" showAll="0"/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2"/>
        <item x="41"/>
        <item x="43"/>
        <item x="44"/>
        <item x="45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2" showAll="0"/>
    <pivotField numFmtId="164" showAll="0"/>
    <pivotField showAll="0"/>
  </pivotFields>
  <rowFields count="1">
    <field x="2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Sum of Value_INR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9BCCD-3B8A-438C-A33B-E0735EEA27BA}" name="Category Analysi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9:C83" firstHeaderRow="0" firstDataRow="1" firstDataCol="1"/>
  <pivotFields count="14">
    <pivotField showAll="0"/>
    <pivotField numFmtId="14" showAll="0"/>
    <pivotField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2"/>
        <item x="41"/>
        <item x="43"/>
        <item x="44"/>
        <item x="45"/>
        <item x="46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4">
        <item x="2"/>
        <item x="0"/>
        <item x="1"/>
        <item t="default"/>
      </items>
    </pivotField>
    <pivotField numFmtId="2" showAll="0"/>
    <pivotField numFmtId="164"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alue_INR" fld="9" baseField="0" baseItem="0"/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C90148-C2CA-4CA4-AAF9-959C5CFE8DED}" autoFormatId="16" applyNumberFormats="0" applyBorderFormats="0" applyFontFormats="0" applyPatternFormats="0" applyAlignmentFormats="0" applyWidthHeightFormats="0">
  <queryTableRefresh nextId="18">
    <queryTableFields count="11">
      <queryTableField id="1" name="ID" tableColumnId="1"/>
      <queryTableField id="2" name="Date" tableColumnId="2"/>
      <queryTableField id="3" name="Country_name" tableColumnId="3"/>
      <queryTableField id="4" name="country_code" tableColumnId="4"/>
      <queryTableField id="5" name="region" tableColumnId="5"/>
      <queryTableField id="6" name="sub_region" tableColumnId="6"/>
      <queryTableField id="7" name="Product_ID" tableColumnId="7"/>
      <queryTableField id="8" name="Product_Name" tableColumnId="8"/>
      <queryTableField id="10" name="Quantity" tableColumnId="10"/>
      <queryTableField id="11" name="Value_INR" tableColumnId="11"/>
      <queryTableField id="12" name="Value_USD" tableColumnId="12"/>
    </queryTableFields>
    <queryTableDeletedFields count="1">
      <deletedField name="un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5CB31-4F12-4BFA-9389-202050AD6BE2}" name="Cleaned_Data" displayName="Cleaned_Data" ref="A1:K48" tableType="queryTable" totalsRowShown="0">
  <autoFilter ref="A1:K48" xr:uid="{C225CB31-4F12-4BFA-9389-202050AD6BE2}"/>
  <tableColumns count="11">
    <tableColumn id="1" xr3:uid="{088AE2E4-70AA-4477-B526-F4047E25A693}" uniqueName="1" name="ID" queryTableFieldId="1"/>
    <tableColumn id="2" xr3:uid="{2093875A-AC9B-46EE-B873-3DED4ECE6975}" uniqueName="2" name="Date" queryTableFieldId="2" dataDxfId="7"/>
    <tableColumn id="3" xr3:uid="{94EEC85F-1B48-4589-8EEB-DFD9732018AD}" uniqueName="3" name="Country_name" queryTableFieldId="3" dataDxfId="6"/>
    <tableColumn id="4" xr3:uid="{A8ADB58D-9FC4-4F39-BB6B-39D1B7AFAE48}" uniqueName="4" name="country_code" queryTableFieldId="4"/>
    <tableColumn id="5" xr3:uid="{0618608F-EF6F-4CB8-B481-ABF15323DFD1}" uniqueName="5" name="region" queryTableFieldId="5" dataDxfId="5"/>
    <tableColumn id="6" xr3:uid="{D99B9494-A2E6-4E21-9371-2C177C4D965A}" uniqueName="6" name="sub_region" queryTableFieldId="6" dataDxfId="4"/>
    <tableColumn id="7" xr3:uid="{8C2E1758-8CA1-47EA-8062-0E6B53948F0C}" uniqueName="7" name="Product_ID" queryTableFieldId="7"/>
    <tableColumn id="8" xr3:uid="{B66CEEE4-D84E-4789-B174-AD73DFF114D3}" uniqueName="8" name="Product_Name" queryTableFieldId="8" dataDxfId="3"/>
    <tableColumn id="10" xr3:uid="{7C07AC76-972B-46C5-A1B6-0B42F0E318E5}" uniqueName="10" name="Quantity" queryTableFieldId="10" dataDxfId="2"/>
    <tableColumn id="11" xr3:uid="{26F2B143-83A4-46B5-9DF7-C3C8A22A4616}" uniqueName="11" name="Value_INR" queryTableFieldId="11" dataDxfId="1"/>
    <tableColumn id="12" xr3:uid="{F0AEDEA9-7CB8-4A2A-95E7-F84F40C3A006}" uniqueName="12" name="Value_USD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0ADA-1E31-4EB2-BA71-D73214B3D838}">
  <dimension ref="A1:K48"/>
  <sheetViews>
    <sheetView tabSelected="1" workbookViewId="0">
      <selection activeCell="L9" sqref="L9"/>
    </sheetView>
  </sheetViews>
  <sheetFormatPr defaultRowHeight="14.4" x14ac:dyDescent="0.3"/>
  <cols>
    <col min="1" max="1" width="6" bestFit="1" customWidth="1"/>
    <col min="2" max="2" width="10.33203125" bestFit="1" customWidth="1"/>
    <col min="3" max="3" width="32.33203125" bestFit="1" customWidth="1"/>
    <col min="4" max="4" width="14.33203125" bestFit="1" customWidth="1"/>
    <col min="5" max="5" width="8.33203125" bestFit="1" customWidth="1"/>
    <col min="6" max="6" width="16.21875" bestFit="1" customWidth="1"/>
    <col min="7" max="7" width="12.33203125" bestFit="1" customWidth="1"/>
    <col min="8" max="8" width="46.6640625" customWidth="1"/>
    <col min="9" max="9" width="9.21875" customWidth="1"/>
    <col min="10" max="10" width="12.21875" customWidth="1"/>
    <col min="11" max="11" width="11.6640625" style="2" customWidth="1"/>
  </cols>
  <sheetData>
    <row r="1" spans="1:11" x14ac:dyDescent="0.3">
      <c r="A1" t="s">
        <v>79</v>
      </c>
      <c r="B1" t="s">
        <v>80</v>
      </c>
      <c r="C1" t="s">
        <v>81</v>
      </c>
      <c r="D1" t="s">
        <v>0</v>
      </c>
      <c r="E1" t="s">
        <v>1</v>
      </c>
      <c r="F1" t="s">
        <v>2</v>
      </c>
      <c r="G1" t="s">
        <v>78</v>
      </c>
      <c r="H1" t="s">
        <v>82</v>
      </c>
      <c r="I1" t="s">
        <v>75</v>
      </c>
      <c r="J1" t="s">
        <v>76</v>
      </c>
      <c r="K1" s="2" t="s">
        <v>77</v>
      </c>
    </row>
    <row r="2" spans="1:11" x14ac:dyDescent="0.3">
      <c r="A2">
        <v>0</v>
      </c>
      <c r="B2" s="1">
        <v>42005</v>
      </c>
      <c r="C2" t="s">
        <v>3</v>
      </c>
      <c r="D2">
        <v>4</v>
      </c>
      <c r="E2" t="s">
        <v>4</v>
      </c>
      <c r="F2" t="s">
        <v>5</v>
      </c>
      <c r="G2">
        <v>2023000</v>
      </c>
      <c r="H2" t="s">
        <v>6</v>
      </c>
      <c r="I2">
        <v>337</v>
      </c>
      <c r="J2">
        <v>347.09</v>
      </c>
      <c r="K2" s="2">
        <v>0.56000000000000005</v>
      </c>
    </row>
    <row r="3" spans="1:11" x14ac:dyDescent="0.3">
      <c r="A3">
        <v>357</v>
      </c>
      <c r="B3" s="1">
        <v>42005</v>
      </c>
      <c r="C3" t="s">
        <v>9</v>
      </c>
      <c r="D3">
        <v>51</v>
      </c>
      <c r="E3" t="s">
        <v>4</v>
      </c>
      <c r="F3" t="s">
        <v>10</v>
      </c>
      <c r="G3">
        <v>2023000</v>
      </c>
      <c r="H3" t="s">
        <v>6</v>
      </c>
      <c r="I3">
        <v>26</v>
      </c>
      <c r="J3">
        <v>64.010000000000005</v>
      </c>
      <c r="K3" s="2">
        <v>0.1</v>
      </c>
    </row>
    <row r="4" spans="1:11" x14ac:dyDescent="0.3">
      <c r="A4">
        <v>394</v>
      </c>
      <c r="B4" s="1">
        <v>42005</v>
      </c>
      <c r="C4" t="s">
        <v>11</v>
      </c>
      <c r="D4">
        <v>31</v>
      </c>
      <c r="E4" t="s">
        <v>4</v>
      </c>
      <c r="F4" t="s">
        <v>10</v>
      </c>
      <c r="G4">
        <v>2023000</v>
      </c>
      <c r="H4" t="s">
        <v>6</v>
      </c>
      <c r="I4">
        <v>620</v>
      </c>
      <c r="J4">
        <v>1397.41</v>
      </c>
      <c r="K4" s="2">
        <v>2.25</v>
      </c>
    </row>
    <row r="5" spans="1:11" x14ac:dyDescent="0.3">
      <c r="A5">
        <v>454</v>
      </c>
      <c r="B5" s="1">
        <v>42005</v>
      </c>
      <c r="C5" t="s">
        <v>12</v>
      </c>
      <c r="D5">
        <v>48</v>
      </c>
      <c r="E5" t="s">
        <v>4</v>
      </c>
      <c r="F5" t="s">
        <v>10</v>
      </c>
      <c r="G5">
        <v>2013000</v>
      </c>
      <c r="H5" t="s">
        <v>13</v>
      </c>
      <c r="I5">
        <v>14.86</v>
      </c>
      <c r="J5">
        <v>39.74</v>
      </c>
      <c r="K5" s="2">
        <v>0.06</v>
      </c>
    </row>
    <row r="6" spans="1:11" x14ac:dyDescent="0.3">
      <c r="A6">
        <v>1406</v>
      </c>
      <c r="B6" s="1">
        <v>42005</v>
      </c>
      <c r="C6" t="s">
        <v>19</v>
      </c>
      <c r="D6">
        <v>50</v>
      </c>
      <c r="E6" t="s">
        <v>4</v>
      </c>
      <c r="F6" t="s">
        <v>5</v>
      </c>
      <c r="G6">
        <v>3021900</v>
      </c>
      <c r="H6" t="s">
        <v>16</v>
      </c>
      <c r="I6">
        <v>2532.66</v>
      </c>
      <c r="J6">
        <v>821.97</v>
      </c>
      <c r="K6" s="2">
        <v>1.32</v>
      </c>
    </row>
    <row r="7" spans="1:11" x14ac:dyDescent="0.3">
      <c r="A7">
        <v>3929</v>
      </c>
      <c r="B7" s="1">
        <v>42005</v>
      </c>
      <c r="C7" t="s">
        <v>22</v>
      </c>
      <c r="D7">
        <v>64</v>
      </c>
      <c r="E7" t="s">
        <v>4</v>
      </c>
      <c r="F7" t="s">
        <v>5</v>
      </c>
      <c r="G7">
        <v>2071100</v>
      </c>
      <c r="H7" t="s">
        <v>23</v>
      </c>
      <c r="I7">
        <v>52.35</v>
      </c>
      <c r="J7">
        <v>57.98</v>
      </c>
      <c r="K7" s="2">
        <v>0.09</v>
      </c>
    </row>
    <row r="8" spans="1:11" x14ac:dyDescent="0.3">
      <c r="A8">
        <v>4136</v>
      </c>
      <c r="B8" s="1">
        <v>42005</v>
      </c>
      <c r="C8" t="s">
        <v>24</v>
      </c>
      <c r="D8">
        <v>96</v>
      </c>
      <c r="E8" t="s">
        <v>4</v>
      </c>
      <c r="F8" t="s">
        <v>25</v>
      </c>
      <c r="G8">
        <v>2023000</v>
      </c>
      <c r="H8" t="s">
        <v>6</v>
      </c>
      <c r="I8">
        <v>112</v>
      </c>
      <c r="J8">
        <v>316</v>
      </c>
      <c r="K8" s="2">
        <v>0.51</v>
      </c>
    </row>
    <row r="9" spans="1:11" x14ac:dyDescent="0.3">
      <c r="A9">
        <v>4271</v>
      </c>
      <c r="B9" s="1">
        <v>42005</v>
      </c>
      <c r="C9" t="s">
        <v>26</v>
      </c>
      <c r="D9">
        <v>116</v>
      </c>
      <c r="E9" t="s">
        <v>4</v>
      </c>
      <c r="F9" t="s">
        <v>25</v>
      </c>
      <c r="G9">
        <v>8061000</v>
      </c>
      <c r="H9" t="s">
        <v>17</v>
      </c>
      <c r="I9">
        <v>54.5</v>
      </c>
      <c r="J9">
        <v>84.51</v>
      </c>
      <c r="K9" s="2">
        <v>0.14000000000000001</v>
      </c>
    </row>
    <row r="10" spans="1:11" x14ac:dyDescent="0.3">
      <c r="A10">
        <v>4482</v>
      </c>
      <c r="B10" s="1">
        <v>42005</v>
      </c>
      <c r="C10" t="s">
        <v>27</v>
      </c>
      <c r="D10">
        <v>156</v>
      </c>
      <c r="E10" t="s">
        <v>4</v>
      </c>
      <c r="F10" t="s">
        <v>28</v>
      </c>
      <c r="G10">
        <v>3011100</v>
      </c>
      <c r="H10" t="s">
        <v>15</v>
      </c>
      <c r="I10">
        <v>0.28000000000000003</v>
      </c>
      <c r="J10">
        <v>0.4</v>
      </c>
      <c r="K10" s="2">
        <v>0</v>
      </c>
    </row>
    <row r="11" spans="1:11" x14ac:dyDescent="0.3">
      <c r="A11">
        <v>6157</v>
      </c>
      <c r="B11" s="1">
        <v>42005</v>
      </c>
      <c r="C11" t="s">
        <v>32</v>
      </c>
      <c r="D11">
        <v>196</v>
      </c>
      <c r="E11" t="s">
        <v>4</v>
      </c>
      <c r="F11" t="s">
        <v>10</v>
      </c>
      <c r="G11">
        <v>3061400</v>
      </c>
      <c r="H11" t="s">
        <v>30</v>
      </c>
      <c r="I11">
        <v>1.08</v>
      </c>
      <c r="J11">
        <v>3.11</v>
      </c>
      <c r="K11" s="2">
        <v>0</v>
      </c>
    </row>
    <row r="12" spans="1:11" x14ac:dyDescent="0.3">
      <c r="A12">
        <v>6308</v>
      </c>
      <c r="B12" s="1">
        <v>42005</v>
      </c>
      <c r="C12" t="s">
        <v>33</v>
      </c>
      <c r="D12">
        <v>408</v>
      </c>
      <c r="E12" t="s">
        <v>4</v>
      </c>
      <c r="F12" t="s">
        <v>28</v>
      </c>
      <c r="G12">
        <v>3034900</v>
      </c>
      <c r="H12" t="s">
        <v>29</v>
      </c>
      <c r="I12">
        <v>96</v>
      </c>
      <c r="J12">
        <v>200.7</v>
      </c>
      <c r="K12" s="2">
        <v>0.32</v>
      </c>
    </row>
    <row r="13" spans="1:11" x14ac:dyDescent="0.3">
      <c r="A13">
        <v>6447</v>
      </c>
      <c r="B13" s="1">
        <v>42005</v>
      </c>
      <c r="C13" t="s">
        <v>34</v>
      </c>
      <c r="D13">
        <v>268</v>
      </c>
      <c r="E13" t="s">
        <v>4</v>
      </c>
      <c r="F13" t="s">
        <v>10</v>
      </c>
      <c r="G13">
        <v>7122000</v>
      </c>
      <c r="H13" t="s">
        <v>20</v>
      </c>
      <c r="I13">
        <v>8</v>
      </c>
      <c r="J13">
        <v>10.61</v>
      </c>
      <c r="K13" s="2">
        <v>0.02</v>
      </c>
    </row>
    <row r="14" spans="1:11" x14ac:dyDescent="0.3">
      <c r="A14">
        <v>7800</v>
      </c>
      <c r="B14" s="1">
        <v>42005</v>
      </c>
      <c r="C14" t="s">
        <v>35</v>
      </c>
      <c r="D14">
        <v>360</v>
      </c>
      <c r="E14" t="s">
        <v>4</v>
      </c>
      <c r="F14" t="s">
        <v>25</v>
      </c>
      <c r="G14">
        <v>2062900</v>
      </c>
      <c r="H14" t="s">
        <v>14</v>
      </c>
      <c r="I14">
        <v>56</v>
      </c>
      <c r="J14">
        <v>39.33</v>
      </c>
      <c r="K14" s="2">
        <v>0.06</v>
      </c>
    </row>
    <row r="15" spans="1:11" x14ac:dyDescent="0.3">
      <c r="A15">
        <v>9112</v>
      </c>
      <c r="B15" s="1">
        <v>42005</v>
      </c>
      <c r="C15" t="s">
        <v>36</v>
      </c>
      <c r="D15">
        <v>368</v>
      </c>
      <c r="E15" t="s">
        <v>4</v>
      </c>
      <c r="F15" t="s">
        <v>10</v>
      </c>
      <c r="G15">
        <v>2023000</v>
      </c>
      <c r="H15" t="s">
        <v>6</v>
      </c>
      <c r="I15">
        <v>3867.13</v>
      </c>
      <c r="J15">
        <v>6667.51</v>
      </c>
      <c r="K15" s="2">
        <v>10.72</v>
      </c>
    </row>
    <row r="16" spans="1:11" x14ac:dyDescent="0.3">
      <c r="A16">
        <v>9490</v>
      </c>
      <c r="B16" s="1">
        <v>42005</v>
      </c>
      <c r="C16" t="s">
        <v>37</v>
      </c>
      <c r="D16">
        <v>364</v>
      </c>
      <c r="E16" t="s">
        <v>4</v>
      </c>
      <c r="F16" t="s">
        <v>5</v>
      </c>
      <c r="G16">
        <v>2023000</v>
      </c>
      <c r="H16" t="s">
        <v>6</v>
      </c>
      <c r="I16">
        <v>162</v>
      </c>
      <c r="J16">
        <v>202.44</v>
      </c>
      <c r="K16" s="2">
        <v>0.33</v>
      </c>
    </row>
    <row r="17" spans="1:11" x14ac:dyDescent="0.3">
      <c r="A17">
        <v>10600</v>
      </c>
      <c r="B17" s="1">
        <v>42005</v>
      </c>
      <c r="C17" t="s">
        <v>38</v>
      </c>
      <c r="D17">
        <v>376</v>
      </c>
      <c r="E17" t="s">
        <v>4</v>
      </c>
      <c r="F17" t="s">
        <v>10</v>
      </c>
      <c r="G17">
        <v>3011100</v>
      </c>
      <c r="H17" t="s">
        <v>15</v>
      </c>
      <c r="I17">
        <v>0.09</v>
      </c>
      <c r="J17">
        <v>0.91</v>
      </c>
      <c r="K17" s="2">
        <v>0</v>
      </c>
    </row>
    <row r="18" spans="1:11" x14ac:dyDescent="0.3">
      <c r="A18">
        <v>11502</v>
      </c>
      <c r="B18" s="1">
        <v>42005</v>
      </c>
      <c r="C18" t="s">
        <v>39</v>
      </c>
      <c r="D18">
        <v>392</v>
      </c>
      <c r="E18" t="s">
        <v>4</v>
      </c>
      <c r="F18" t="s">
        <v>28</v>
      </c>
      <c r="G18">
        <v>3011100</v>
      </c>
      <c r="H18" t="s">
        <v>15</v>
      </c>
      <c r="I18">
        <v>0.74</v>
      </c>
      <c r="J18">
        <v>4.03</v>
      </c>
      <c r="K18" s="2">
        <v>0.01</v>
      </c>
    </row>
    <row r="19" spans="1:11" x14ac:dyDescent="0.3">
      <c r="A19">
        <v>13174</v>
      </c>
      <c r="B19" s="1">
        <v>42005</v>
      </c>
      <c r="C19" t="s">
        <v>41</v>
      </c>
      <c r="D19">
        <v>400</v>
      </c>
      <c r="E19" t="s">
        <v>4</v>
      </c>
      <c r="F19" t="s">
        <v>10</v>
      </c>
      <c r="G19">
        <v>2013000</v>
      </c>
      <c r="H19" t="s">
        <v>13</v>
      </c>
      <c r="I19">
        <v>46</v>
      </c>
      <c r="J19">
        <v>127.22</v>
      </c>
      <c r="K19" s="2">
        <v>0.2</v>
      </c>
    </row>
    <row r="20" spans="1:11" x14ac:dyDescent="0.3">
      <c r="A20">
        <v>13741</v>
      </c>
      <c r="B20" s="1">
        <v>42005</v>
      </c>
      <c r="C20" t="s">
        <v>42</v>
      </c>
      <c r="D20">
        <v>398</v>
      </c>
      <c r="E20" t="s">
        <v>4</v>
      </c>
      <c r="F20" t="s">
        <v>43</v>
      </c>
      <c r="G20">
        <v>9023020</v>
      </c>
      <c r="H20" t="s">
        <v>18</v>
      </c>
      <c r="I20">
        <v>10.35</v>
      </c>
      <c r="J20">
        <v>18.46</v>
      </c>
      <c r="K20" s="2">
        <v>0.03</v>
      </c>
    </row>
    <row r="21" spans="1:11" x14ac:dyDescent="0.3">
      <c r="A21">
        <v>13916</v>
      </c>
      <c r="B21" s="1">
        <v>42005</v>
      </c>
      <c r="C21" t="s">
        <v>44</v>
      </c>
      <c r="D21">
        <v>414</v>
      </c>
      <c r="E21" t="s">
        <v>4</v>
      </c>
      <c r="F21" t="s">
        <v>10</v>
      </c>
      <c r="G21">
        <v>2013000</v>
      </c>
      <c r="H21" t="s">
        <v>13</v>
      </c>
      <c r="I21">
        <v>32.22</v>
      </c>
      <c r="J21">
        <v>86.38</v>
      </c>
      <c r="K21" s="2">
        <v>0.14000000000000001</v>
      </c>
    </row>
    <row r="22" spans="1:11" x14ac:dyDescent="0.3">
      <c r="A22">
        <v>15181</v>
      </c>
      <c r="B22" s="1">
        <v>42005</v>
      </c>
      <c r="C22" t="s">
        <v>45</v>
      </c>
      <c r="D22">
        <v>417</v>
      </c>
      <c r="E22" t="s">
        <v>4</v>
      </c>
      <c r="F22" t="s">
        <v>43</v>
      </c>
      <c r="G22">
        <v>2023000</v>
      </c>
      <c r="H22" t="s">
        <v>6</v>
      </c>
      <c r="I22">
        <v>56</v>
      </c>
      <c r="J22">
        <v>92.25</v>
      </c>
      <c r="K22" s="2">
        <v>0.15</v>
      </c>
    </row>
    <row r="23" spans="1:11" x14ac:dyDescent="0.3">
      <c r="A23">
        <v>15289</v>
      </c>
      <c r="B23" s="1">
        <v>42005</v>
      </c>
      <c r="C23" t="s">
        <v>46</v>
      </c>
      <c r="D23">
        <v>418</v>
      </c>
      <c r="E23" t="s">
        <v>4</v>
      </c>
      <c r="F23" t="s">
        <v>25</v>
      </c>
      <c r="G23">
        <v>2023000</v>
      </c>
      <c r="H23" t="s">
        <v>6</v>
      </c>
      <c r="I23">
        <v>1151</v>
      </c>
      <c r="J23">
        <v>2324.41</v>
      </c>
      <c r="K23" s="2">
        <v>3.74</v>
      </c>
    </row>
    <row r="24" spans="1:11" x14ac:dyDescent="0.3">
      <c r="A24">
        <v>15329</v>
      </c>
      <c r="B24" s="1">
        <v>42005</v>
      </c>
      <c r="C24" t="s">
        <v>47</v>
      </c>
      <c r="D24">
        <v>422</v>
      </c>
      <c r="E24" t="s">
        <v>4</v>
      </c>
      <c r="F24" t="s">
        <v>10</v>
      </c>
      <c r="G24">
        <v>2023000</v>
      </c>
      <c r="H24" t="s">
        <v>6</v>
      </c>
      <c r="I24">
        <v>628</v>
      </c>
      <c r="J24">
        <v>1165.83</v>
      </c>
      <c r="K24" s="2">
        <v>1.87</v>
      </c>
    </row>
    <row r="25" spans="1:11" x14ac:dyDescent="0.3">
      <c r="A25">
        <v>15699</v>
      </c>
      <c r="B25" s="1">
        <v>42005</v>
      </c>
      <c r="C25" t="s">
        <v>48</v>
      </c>
      <c r="D25">
        <v>446</v>
      </c>
      <c r="E25" t="s">
        <v>4</v>
      </c>
      <c r="F25" t="s">
        <v>28</v>
      </c>
      <c r="G25">
        <v>7099920</v>
      </c>
      <c r="H25" t="s">
        <v>87</v>
      </c>
      <c r="I25">
        <v>0.34</v>
      </c>
      <c r="J25">
        <v>0.22</v>
      </c>
      <c r="K25" s="2">
        <v>0</v>
      </c>
    </row>
    <row r="26" spans="1:11" x14ac:dyDescent="0.3">
      <c r="A26">
        <v>15711</v>
      </c>
      <c r="B26" s="1">
        <v>42005</v>
      </c>
      <c r="C26" t="s">
        <v>49</v>
      </c>
      <c r="D26">
        <v>458</v>
      </c>
      <c r="E26" t="s">
        <v>4</v>
      </c>
      <c r="F26" t="s">
        <v>25</v>
      </c>
      <c r="G26">
        <v>2023000</v>
      </c>
      <c r="H26" t="s">
        <v>6</v>
      </c>
      <c r="I26">
        <v>13327</v>
      </c>
      <c r="J26">
        <v>26133.72</v>
      </c>
      <c r="K26" s="2">
        <v>42</v>
      </c>
    </row>
    <row r="27" spans="1:11" x14ac:dyDescent="0.3">
      <c r="A27">
        <v>17709</v>
      </c>
      <c r="B27" s="1">
        <v>42005</v>
      </c>
      <c r="C27" t="s">
        <v>50</v>
      </c>
      <c r="D27">
        <v>462</v>
      </c>
      <c r="E27" t="s">
        <v>4</v>
      </c>
      <c r="F27" t="s">
        <v>5</v>
      </c>
      <c r="G27">
        <v>1042000</v>
      </c>
      <c r="H27" t="s">
        <v>51</v>
      </c>
      <c r="I27">
        <v>0.2</v>
      </c>
      <c r="J27">
        <v>12.14</v>
      </c>
      <c r="K27" s="2">
        <v>0.02</v>
      </c>
    </row>
    <row r="28" spans="1:11" x14ac:dyDescent="0.3">
      <c r="A28">
        <v>18488</v>
      </c>
      <c r="B28" s="1">
        <v>42005</v>
      </c>
      <c r="C28" t="s">
        <v>52</v>
      </c>
      <c r="D28">
        <v>496</v>
      </c>
      <c r="E28" t="s">
        <v>4</v>
      </c>
      <c r="F28" t="s">
        <v>28</v>
      </c>
      <c r="G28">
        <v>2023000</v>
      </c>
      <c r="H28" t="s">
        <v>6</v>
      </c>
      <c r="I28">
        <v>0.1</v>
      </c>
      <c r="J28">
        <v>0.1</v>
      </c>
      <c r="K28" s="2">
        <v>0</v>
      </c>
    </row>
    <row r="29" spans="1:11" x14ac:dyDescent="0.3">
      <c r="A29">
        <v>18545</v>
      </c>
      <c r="B29" s="1">
        <v>42005</v>
      </c>
      <c r="C29" t="s">
        <v>53</v>
      </c>
      <c r="D29">
        <v>104</v>
      </c>
      <c r="E29" t="s">
        <v>4</v>
      </c>
      <c r="F29" t="s">
        <v>25</v>
      </c>
      <c r="G29">
        <v>5010010</v>
      </c>
      <c r="H29" t="s">
        <v>31</v>
      </c>
      <c r="I29">
        <v>21.08</v>
      </c>
      <c r="J29">
        <v>42.4</v>
      </c>
      <c r="K29" s="2">
        <v>7.0000000000000007E-2</v>
      </c>
    </row>
    <row r="30" spans="1:11" x14ac:dyDescent="0.3">
      <c r="A30">
        <v>19125</v>
      </c>
      <c r="B30" s="1">
        <v>42005</v>
      </c>
      <c r="C30" t="s">
        <v>54</v>
      </c>
      <c r="D30">
        <v>524</v>
      </c>
      <c r="E30" t="s">
        <v>4</v>
      </c>
      <c r="F30" t="s">
        <v>5</v>
      </c>
      <c r="G30">
        <v>1013010</v>
      </c>
      <c r="H30" t="s">
        <v>55</v>
      </c>
      <c r="I30">
        <v>0.01</v>
      </c>
      <c r="J30">
        <v>0.6</v>
      </c>
      <c r="K30" s="2">
        <v>0</v>
      </c>
    </row>
    <row r="31" spans="1:11" x14ac:dyDescent="0.3">
      <c r="A31">
        <v>22104</v>
      </c>
      <c r="B31" s="1">
        <v>42005</v>
      </c>
      <c r="C31" t="s">
        <v>56</v>
      </c>
      <c r="D31">
        <v>512</v>
      </c>
      <c r="E31" t="s">
        <v>4</v>
      </c>
      <c r="F31" t="s">
        <v>10</v>
      </c>
      <c r="G31">
        <v>2013000</v>
      </c>
      <c r="H31" t="s">
        <v>13</v>
      </c>
      <c r="I31">
        <v>58.6</v>
      </c>
      <c r="J31">
        <v>160.24</v>
      </c>
      <c r="K31" s="2">
        <v>0.26</v>
      </c>
    </row>
    <row r="32" spans="1:11" x14ac:dyDescent="0.3">
      <c r="A32">
        <v>23407</v>
      </c>
      <c r="B32" s="1">
        <v>42005</v>
      </c>
      <c r="C32" t="s">
        <v>57</v>
      </c>
      <c r="D32">
        <v>586</v>
      </c>
      <c r="E32" t="s">
        <v>4</v>
      </c>
      <c r="F32" t="s">
        <v>5</v>
      </c>
      <c r="G32">
        <v>2023000</v>
      </c>
      <c r="H32" t="s">
        <v>6</v>
      </c>
      <c r="I32">
        <v>309</v>
      </c>
      <c r="J32">
        <v>146.18</v>
      </c>
      <c r="K32" s="2">
        <v>0.23</v>
      </c>
    </row>
    <row r="33" spans="1:11" x14ac:dyDescent="0.3">
      <c r="A33">
        <v>24290</v>
      </c>
      <c r="B33" s="1">
        <v>42005</v>
      </c>
      <c r="C33" t="s">
        <v>58</v>
      </c>
      <c r="D33">
        <v>608</v>
      </c>
      <c r="E33" t="s">
        <v>4</v>
      </c>
      <c r="F33" t="s">
        <v>25</v>
      </c>
      <c r="G33">
        <v>2023000</v>
      </c>
      <c r="H33" t="s">
        <v>6</v>
      </c>
      <c r="I33">
        <v>3107.39</v>
      </c>
      <c r="J33">
        <v>5200.1000000000004</v>
      </c>
      <c r="K33" s="2">
        <v>8.36</v>
      </c>
    </row>
    <row r="34" spans="1:11" x14ac:dyDescent="0.3">
      <c r="A34">
        <v>25277</v>
      </c>
      <c r="B34" s="1">
        <v>42005</v>
      </c>
      <c r="C34" t="s">
        <v>59</v>
      </c>
      <c r="D34">
        <v>634</v>
      </c>
      <c r="E34" t="s">
        <v>4</v>
      </c>
      <c r="F34" t="s">
        <v>10</v>
      </c>
      <c r="G34">
        <v>2013000</v>
      </c>
      <c r="H34" t="s">
        <v>13</v>
      </c>
      <c r="I34">
        <v>56.76</v>
      </c>
      <c r="J34">
        <v>153.62</v>
      </c>
      <c r="K34" s="2">
        <v>0.25</v>
      </c>
    </row>
    <row r="35" spans="1:11" x14ac:dyDescent="0.3">
      <c r="A35">
        <v>26275</v>
      </c>
      <c r="B35" s="1">
        <v>42005</v>
      </c>
      <c r="C35" t="s">
        <v>60</v>
      </c>
      <c r="D35">
        <v>410</v>
      </c>
      <c r="E35" t="s">
        <v>4</v>
      </c>
      <c r="F35" t="s">
        <v>28</v>
      </c>
      <c r="G35">
        <v>2023000</v>
      </c>
      <c r="H35" t="s">
        <v>6</v>
      </c>
      <c r="I35">
        <v>19</v>
      </c>
      <c r="J35">
        <v>24.5</v>
      </c>
      <c r="K35" s="2">
        <v>0.04</v>
      </c>
    </row>
    <row r="36" spans="1:11" x14ac:dyDescent="0.3">
      <c r="A36">
        <v>27512</v>
      </c>
      <c r="B36" s="1">
        <v>42005</v>
      </c>
      <c r="C36" t="s">
        <v>61</v>
      </c>
      <c r="D36">
        <v>682</v>
      </c>
      <c r="E36" t="s">
        <v>4</v>
      </c>
      <c r="F36" t="s">
        <v>10</v>
      </c>
      <c r="G36">
        <v>2013000</v>
      </c>
      <c r="H36" t="s">
        <v>13</v>
      </c>
      <c r="I36">
        <v>325.14</v>
      </c>
      <c r="J36">
        <v>1019.93</v>
      </c>
      <c r="K36" s="2">
        <v>1.64</v>
      </c>
    </row>
    <row r="37" spans="1:11" x14ac:dyDescent="0.3">
      <c r="A37">
        <v>31577</v>
      </c>
      <c r="B37" s="1">
        <v>42005</v>
      </c>
      <c r="C37" t="s">
        <v>62</v>
      </c>
      <c r="D37">
        <v>144</v>
      </c>
      <c r="E37" t="s">
        <v>4</v>
      </c>
      <c r="F37" t="s">
        <v>5</v>
      </c>
      <c r="G37">
        <v>3021900</v>
      </c>
      <c r="H37" t="s">
        <v>16</v>
      </c>
      <c r="I37">
        <v>4.25</v>
      </c>
      <c r="J37">
        <v>7.99</v>
      </c>
      <c r="K37" s="2">
        <v>0.01</v>
      </c>
    </row>
    <row r="38" spans="1:11" x14ac:dyDescent="0.3">
      <c r="A38">
        <v>33968</v>
      </c>
      <c r="B38" s="1">
        <v>42005</v>
      </c>
      <c r="C38" t="s">
        <v>63</v>
      </c>
      <c r="D38">
        <v>760</v>
      </c>
      <c r="E38" t="s">
        <v>4</v>
      </c>
      <c r="F38" t="s">
        <v>10</v>
      </c>
      <c r="G38">
        <v>2023000</v>
      </c>
      <c r="H38" t="s">
        <v>6</v>
      </c>
      <c r="I38">
        <v>84</v>
      </c>
      <c r="J38">
        <v>181.11</v>
      </c>
      <c r="K38" s="2">
        <v>0.28999999999999998</v>
      </c>
    </row>
    <row r="39" spans="1:11" x14ac:dyDescent="0.3">
      <c r="A39">
        <v>34143</v>
      </c>
      <c r="B39" s="1">
        <v>42005</v>
      </c>
      <c r="C39" t="s">
        <v>64</v>
      </c>
      <c r="D39">
        <v>158</v>
      </c>
      <c r="E39" t="s">
        <v>4</v>
      </c>
      <c r="F39" t="s">
        <v>28</v>
      </c>
      <c r="G39">
        <v>3011900</v>
      </c>
      <c r="H39" t="s">
        <v>40</v>
      </c>
      <c r="I39">
        <v>0.35</v>
      </c>
      <c r="J39">
        <v>1.76</v>
      </c>
      <c r="K39" s="2">
        <v>0</v>
      </c>
    </row>
    <row r="40" spans="1:11" x14ac:dyDescent="0.3">
      <c r="A40">
        <v>35108</v>
      </c>
      <c r="B40" s="1">
        <v>42005</v>
      </c>
      <c r="C40" t="s">
        <v>66</v>
      </c>
      <c r="D40">
        <v>762</v>
      </c>
      <c r="E40" t="s">
        <v>4</v>
      </c>
      <c r="F40" t="s">
        <v>43</v>
      </c>
      <c r="G40">
        <v>2023000</v>
      </c>
      <c r="H40" t="s">
        <v>6</v>
      </c>
      <c r="I40">
        <v>990</v>
      </c>
      <c r="J40">
        <v>1994.12</v>
      </c>
      <c r="K40" s="2">
        <v>3.2</v>
      </c>
    </row>
    <row r="41" spans="1:11" x14ac:dyDescent="0.3">
      <c r="A41">
        <v>35154</v>
      </c>
      <c r="B41" s="1">
        <v>42005</v>
      </c>
      <c r="C41" t="s">
        <v>67</v>
      </c>
      <c r="D41">
        <v>764</v>
      </c>
      <c r="E41" t="s">
        <v>4</v>
      </c>
      <c r="F41" t="s">
        <v>25</v>
      </c>
      <c r="G41">
        <v>2023000</v>
      </c>
      <c r="H41" t="s">
        <v>6</v>
      </c>
      <c r="I41">
        <v>14053.86</v>
      </c>
      <c r="J41">
        <v>30171.93</v>
      </c>
      <c r="K41" s="2">
        <v>48.49</v>
      </c>
    </row>
    <row r="42" spans="1:11" x14ac:dyDescent="0.3">
      <c r="A42">
        <v>36738</v>
      </c>
      <c r="B42" s="1">
        <v>42005</v>
      </c>
      <c r="C42" t="s">
        <v>68</v>
      </c>
      <c r="D42">
        <v>626</v>
      </c>
      <c r="E42" t="s">
        <v>4</v>
      </c>
      <c r="F42" t="s">
        <v>25</v>
      </c>
      <c r="G42">
        <v>3044930</v>
      </c>
      <c r="H42" t="s">
        <v>65</v>
      </c>
      <c r="I42">
        <v>0.63</v>
      </c>
      <c r="J42">
        <v>3.37</v>
      </c>
      <c r="K42" s="2">
        <v>0.01</v>
      </c>
    </row>
    <row r="43" spans="1:11" x14ac:dyDescent="0.3">
      <c r="A43">
        <v>36747</v>
      </c>
      <c r="B43" s="1">
        <v>42005</v>
      </c>
      <c r="C43" t="s">
        <v>69</v>
      </c>
      <c r="D43">
        <v>795</v>
      </c>
      <c r="E43" t="s">
        <v>4</v>
      </c>
      <c r="F43" t="s">
        <v>43</v>
      </c>
      <c r="G43">
        <v>2023000</v>
      </c>
      <c r="H43" t="s">
        <v>6</v>
      </c>
      <c r="I43">
        <v>2702</v>
      </c>
      <c r="J43">
        <v>4367.38</v>
      </c>
      <c r="K43" s="2">
        <v>7.02</v>
      </c>
    </row>
    <row r="44" spans="1:11" x14ac:dyDescent="0.3">
      <c r="A44">
        <v>36813</v>
      </c>
      <c r="B44" s="1">
        <v>42005</v>
      </c>
      <c r="C44" t="s">
        <v>70</v>
      </c>
      <c r="D44">
        <v>792</v>
      </c>
      <c r="E44" t="s">
        <v>4</v>
      </c>
      <c r="F44" t="s">
        <v>10</v>
      </c>
      <c r="G44">
        <v>3061719</v>
      </c>
      <c r="H44" t="s">
        <v>7</v>
      </c>
      <c r="I44">
        <v>116</v>
      </c>
      <c r="J44">
        <v>606.79999999999995</v>
      </c>
      <c r="K44" s="2">
        <v>0.98</v>
      </c>
    </row>
    <row r="45" spans="1:11" x14ac:dyDescent="0.3">
      <c r="A45">
        <v>38081</v>
      </c>
      <c r="B45" s="1">
        <v>42005</v>
      </c>
      <c r="C45" t="s">
        <v>71</v>
      </c>
      <c r="D45">
        <v>784</v>
      </c>
      <c r="E45" t="s">
        <v>4</v>
      </c>
      <c r="F45" t="s">
        <v>10</v>
      </c>
      <c r="G45">
        <v>2013000</v>
      </c>
      <c r="H45" t="s">
        <v>13</v>
      </c>
      <c r="I45">
        <v>436.4</v>
      </c>
      <c r="J45">
        <v>1287.79</v>
      </c>
      <c r="K45" s="2">
        <v>2.0699999999999998</v>
      </c>
    </row>
    <row r="46" spans="1:11" x14ac:dyDescent="0.3">
      <c r="A46">
        <v>41704</v>
      </c>
      <c r="B46" s="1">
        <v>42005</v>
      </c>
      <c r="C46" t="s">
        <v>72</v>
      </c>
      <c r="D46">
        <v>860</v>
      </c>
      <c r="E46" t="s">
        <v>4</v>
      </c>
      <c r="F46" t="s">
        <v>43</v>
      </c>
      <c r="G46">
        <v>9093129</v>
      </c>
      <c r="H46" t="s">
        <v>21</v>
      </c>
      <c r="I46">
        <v>48</v>
      </c>
      <c r="J46">
        <v>62.28</v>
      </c>
      <c r="K46" s="2">
        <v>0.1</v>
      </c>
    </row>
    <row r="47" spans="1:11" x14ac:dyDescent="0.3">
      <c r="A47">
        <v>41922</v>
      </c>
      <c r="B47" s="1">
        <v>42005</v>
      </c>
      <c r="C47" t="s">
        <v>73</v>
      </c>
      <c r="D47">
        <v>704</v>
      </c>
      <c r="E47" t="s">
        <v>4</v>
      </c>
      <c r="F47" t="s">
        <v>25</v>
      </c>
      <c r="G47">
        <v>2023000</v>
      </c>
      <c r="H47" t="s">
        <v>6</v>
      </c>
      <c r="I47">
        <v>45833.7</v>
      </c>
      <c r="J47">
        <v>96231.35</v>
      </c>
      <c r="K47" s="2">
        <v>154.65</v>
      </c>
    </row>
    <row r="48" spans="1:11" x14ac:dyDescent="0.3">
      <c r="A48">
        <v>42977</v>
      </c>
      <c r="B48" s="1">
        <v>42005</v>
      </c>
      <c r="C48" t="s">
        <v>74</v>
      </c>
      <c r="D48">
        <v>887</v>
      </c>
      <c r="E48" t="s">
        <v>4</v>
      </c>
      <c r="F48" t="s">
        <v>10</v>
      </c>
      <c r="G48">
        <v>2023000</v>
      </c>
      <c r="H48" t="s">
        <v>6</v>
      </c>
      <c r="I48">
        <v>197</v>
      </c>
      <c r="J48">
        <v>311.51</v>
      </c>
      <c r="K48" s="2">
        <v>0.5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63AE-F9BA-4FA0-A853-9D56049F9415}">
  <dimension ref="A3:C83"/>
  <sheetViews>
    <sheetView topLeftCell="A63" workbookViewId="0">
      <selection activeCell="A80" sqref="A80:A82"/>
      <pivotSelection pane="bottomRight" showHeader="1" axis="axisRow" activeRow="82" previousRow="82" click="1" r:id="rId3">
        <pivotArea dataOnly="0" labelOnly="1" fieldPosition="0">
          <references count="1">
            <reference field="10" count="0"/>
          </references>
        </pivotArea>
      </pivotSelection>
    </sheetView>
  </sheetViews>
  <sheetFormatPr defaultRowHeight="14.4" x14ac:dyDescent="0.3"/>
  <cols>
    <col min="1" max="1" width="69.33203125" bestFit="1" customWidth="1"/>
    <col min="2" max="2" width="14.21875" bestFit="1" customWidth="1"/>
    <col min="3" max="3" width="15.5546875" bestFit="1" customWidth="1"/>
  </cols>
  <sheetData>
    <row r="3" spans="1:2" x14ac:dyDescent="0.3">
      <c r="A3" s="3" t="s">
        <v>83</v>
      </c>
      <c r="B3" t="s">
        <v>85</v>
      </c>
    </row>
    <row r="4" spans="1:2" x14ac:dyDescent="0.3">
      <c r="A4" s="4" t="s">
        <v>3</v>
      </c>
      <c r="B4">
        <v>347.09</v>
      </c>
    </row>
    <row r="5" spans="1:2" x14ac:dyDescent="0.3">
      <c r="A5" s="4" t="s">
        <v>9</v>
      </c>
      <c r="B5">
        <v>64.010000000000005</v>
      </c>
    </row>
    <row r="6" spans="1:2" x14ac:dyDescent="0.3">
      <c r="A6" s="4" t="s">
        <v>11</v>
      </c>
      <c r="B6">
        <v>1397.41</v>
      </c>
    </row>
    <row r="7" spans="1:2" x14ac:dyDescent="0.3">
      <c r="A7" s="4" t="s">
        <v>12</v>
      </c>
      <c r="B7">
        <v>39.74</v>
      </c>
    </row>
    <row r="8" spans="1:2" x14ac:dyDescent="0.3">
      <c r="A8" s="4" t="s">
        <v>19</v>
      </c>
      <c r="B8">
        <v>821.97</v>
      </c>
    </row>
    <row r="9" spans="1:2" x14ac:dyDescent="0.3">
      <c r="A9" s="4" t="s">
        <v>22</v>
      </c>
      <c r="B9">
        <v>57.98</v>
      </c>
    </row>
    <row r="10" spans="1:2" x14ac:dyDescent="0.3">
      <c r="A10" s="4" t="s">
        <v>24</v>
      </c>
      <c r="B10">
        <v>316</v>
      </c>
    </row>
    <row r="11" spans="1:2" x14ac:dyDescent="0.3">
      <c r="A11" s="4" t="s">
        <v>26</v>
      </c>
      <c r="B11">
        <v>84.51</v>
      </c>
    </row>
    <row r="12" spans="1:2" x14ac:dyDescent="0.3">
      <c r="A12" s="4" t="s">
        <v>27</v>
      </c>
      <c r="B12">
        <v>0.4</v>
      </c>
    </row>
    <row r="13" spans="1:2" x14ac:dyDescent="0.3">
      <c r="A13" s="4" t="s">
        <v>32</v>
      </c>
      <c r="B13">
        <v>3.11</v>
      </c>
    </row>
    <row r="14" spans="1:2" x14ac:dyDescent="0.3">
      <c r="A14" s="4" t="s">
        <v>33</v>
      </c>
      <c r="B14">
        <v>200.7</v>
      </c>
    </row>
    <row r="15" spans="1:2" x14ac:dyDescent="0.3">
      <c r="A15" s="4" t="s">
        <v>34</v>
      </c>
      <c r="B15">
        <v>10.61</v>
      </c>
    </row>
    <row r="16" spans="1:2" x14ac:dyDescent="0.3">
      <c r="A16" s="4" t="s">
        <v>35</v>
      </c>
      <c r="B16">
        <v>39.33</v>
      </c>
    </row>
    <row r="17" spans="1:2" x14ac:dyDescent="0.3">
      <c r="A17" s="4" t="s">
        <v>36</v>
      </c>
      <c r="B17">
        <v>6667.51</v>
      </c>
    </row>
    <row r="18" spans="1:2" x14ac:dyDescent="0.3">
      <c r="A18" s="4" t="s">
        <v>37</v>
      </c>
      <c r="B18">
        <v>202.44</v>
      </c>
    </row>
    <row r="19" spans="1:2" x14ac:dyDescent="0.3">
      <c r="A19" s="4" t="s">
        <v>38</v>
      </c>
      <c r="B19">
        <v>0.91</v>
      </c>
    </row>
    <row r="20" spans="1:2" x14ac:dyDescent="0.3">
      <c r="A20" s="4" t="s">
        <v>39</v>
      </c>
      <c r="B20">
        <v>4.03</v>
      </c>
    </row>
    <row r="21" spans="1:2" x14ac:dyDescent="0.3">
      <c r="A21" s="4" t="s">
        <v>41</v>
      </c>
      <c r="B21">
        <v>127.22</v>
      </c>
    </row>
    <row r="22" spans="1:2" x14ac:dyDescent="0.3">
      <c r="A22" s="4" t="s">
        <v>42</v>
      </c>
      <c r="B22">
        <v>18.46</v>
      </c>
    </row>
    <row r="23" spans="1:2" x14ac:dyDescent="0.3">
      <c r="A23" s="4" t="s">
        <v>44</v>
      </c>
      <c r="B23">
        <v>86.38</v>
      </c>
    </row>
    <row r="24" spans="1:2" x14ac:dyDescent="0.3">
      <c r="A24" s="4" t="s">
        <v>45</v>
      </c>
      <c r="B24">
        <v>92.25</v>
      </c>
    </row>
    <row r="25" spans="1:2" x14ac:dyDescent="0.3">
      <c r="A25" s="4" t="s">
        <v>46</v>
      </c>
      <c r="B25">
        <v>2324.41</v>
      </c>
    </row>
    <row r="26" spans="1:2" x14ac:dyDescent="0.3">
      <c r="A26" s="4" t="s">
        <v>47</v>
      </c>
      <c r="B26">
        <v>1165.83</v>
      </c>
    </row>
    <row r="27" spans="1:2" x14ac:dyDescent="0.3">
      <c r="A27" s="4" t="s">
        <v>48</v>
      </c>
      <c r="B27">
        <v>0.22</v>
      </c>
    </row>
    <row r="28" spans="1:2" x14ac:dyDescent="0.3">
      <c r="A28" s="4" t="s">
        <v>49</v>
      </c>
      <c r="B28">
        <v>26133.72</v>
      </c>
    </row>
    <row r="29" spans="1:2" x14ac:dyDescent="0.3">
      <c r="A29" s="4" t="s">
        <v>50</v>
      </c>
      <c r="B29">
        <v>12.14</v>
      </c>
    </row>
    <row r="30" spans="1:2" x14ac:dyDescent="0.3">
      <c r="A30" s="4" t="s">
        <v>52</v>
      </c>
      <c r="B30">
        <v>0.1</v>
      </c>
    </row>
    <row r="31" spans="1:2" x14ac:dyDescent="0.3">
      <c r="A31" s="4" t="s">
        <v>53</v>
      </c>
      <c r="B31">
        <v>42.4</v>
      </c>
    </row>
    <row r="32" spans="1:2" x14ac:dyDescent="0.3">
      <c r="A32" s="4" t="s">
        <v>54</v>
      </c>
      <c r="B32">
        <v>0.6</v>
      </c>
    </row>
    <row r="33" spans="1:2" x14ac:dyDescent="0.3">
      <c r="A33" s="4" t="s">
        <v>56</v>
      </c>
      <c r="B33">
        <v>160.24</v>
      </c>
    </row>
    <row r="34" spans="1:2" x14ac:dyDescent="0.3">
      <c r="A34" s="4" t="s">
        <v>57</v>
      </c>
      <c r="B34">
        <v>146.18</v>
      </c>
    </row>
    <row r="35" spans="1:2" x14ac:dyDescent="0.3">
      <c r="A35" s="4" t="s">
        <v>58</v>
      </c>
      <c r="B35">
        <v>5200.1000000000004</v>
      </c>
    </row>
    <row r="36" spans="1:2" x14ac:dyDescent="0.3">
      <c r="A36" s="4" t="s">
        <v>59</v>
      </c>
      <c r="B36">
        <v>153.62</v>
      </c>
    </row>
    <row r="37" spans="1:2" x14ac:dyDescent="0.3">
      <c r="A37" s="4" t="s">
        <v>60</v>
      </c>
      <c r="B37">
        <v>24.5</v>
      </c>
    </row>
    <row r="38" spans="1:2" x14ac:dyDescent="0.3">
      <c r="A38" s="4" t="s">
        <v>61</v>
      </c>
      <c r="B38">
        <v>1019.93</v>
      </c>
    </row>
    <row r="39" spans="1:2" x14ac:dyDescent="0.3">
      <c r="A39" s="4" t="s">
        <v>62</v>
      </c>
      <c r="B39">
        <v>7.99</v>
      </c>
    </row>
    <row r="40" spans="1:2" x14ac:dyDescent="0.3">
      <c r="A40" s="4" t="s">
        <v>63</v>
      </c>
      <c r="B40">
        <v>181.11</v>
      </c>
    </row>
    <row r="41" spans="1:2" x14ac:dyDescent="0.3">
      <c r="A41" s="4" t="s">
        <v>64</v>
      </c>
      <c r="B41">
        <v>1.76</v>
      </c>
    </row>
    <row r="42" spans="1:2" x14ac:dyDescent="0.3">
      <c r="A42" s="4" t="s">
        <v>66</v>
      </c>
      <c r="B42">
        <v>1994.12</v>
      </c>
    </row>
    <row r="43" spans="1:2" x14ac:dyDescent="0.3">
      <c r="A43" s="4" t="s">
        <v>67</v>
      </c>
      <c r="B43">
        <v>30171.93</v>
      </c>
    </row>
    <row r="44" spans="1:2" x14ac:dyDescent="0.3">
      <c r="A44" s="4" t="s">
        <v>68</v>
      </c>
      <c r="B44">
        <v>3.37</v>
      </c>
    </row>
    <row r="45" spans="1:2" x14ac:dyDescent="0.3">
      <c r="A45" s="4" t="s">
        <v>70</v>
      </c>
      <c r="B45">
        <v>606.79999999999995</v>
      </c>
    </row>
    <row r="46" spans="1:2" x14ac:dyDescent="0.3">
      <c r="A46" s="4" t="s">
        <v>69</v>
      </c>
      <c r="B46">
        <v>4367.38</v>
      </c>
    </row>
    <row r="47" spans="1:2" x14ac:dyDescent="0.3">
      <c r="A47" s="4" t="s">
        <v>71</v>
      </c>
      <c r="B47">
        <v>1287.79</v>
      </c>
    </row>
    <row r="48" spans="1:2" x14ac:dyDescent="0.3">
      <c r="A48" s="4" t="s">
        <v>72</v>
      </c>
      <c r="B48">
        <v>62.28</v>
      </c>
    </row>
    <row r="49" spans="1:3" x14ac:dyDescent="0.3">
      <c r="A49" s="4" t="s">
        <v>73</v>
      </c>
      <c r="B49">
        <v>96231.35</v>
      </c>
    </row>
    <row r="50" spans="1:3" x14ac:dyDescent="0.3">
      <c r="A50" s="4" t="s">
        <v>74</v>
      </c>
      <c r="B50">
        <v>311.51</v>
      </c>
    </row>
    <row r="51" spans="1:3" x14ac:dyDescent="0.3">
      <c r="A51" s="4" t="s">
        <v>84</v>
      </c>
      <c r="B51">
        <v>182193.44</v>
      </c>
    </row>
    <row r="56" spans="1:3" x14ac:dyDescent="0.3">
      <c r="A56" s="3" t="s">
        <v>83</v>
      </c>
      <c r="B56" t="s">
        <v>86</v>
      </c>
      <c r="C56" t="s">
        <v>85</v>
      </c>
    </row>
    <row r="57" spans="1:3" x14ac:dyDescent="0.3">
      <c r="A57" s="4" t="s">
        <v>8</v>
      </c>
      <c r="B57">
        <v>0.34</v>
      </c>
      <c r="C57">
        <v>0.22</v>
      </c>
    </row>
    <row r="58" spans="1:3" x14ac:dyDescent="0.3">
      <c r="A58" s="4" t="s">
        <v>18</v>
      </c>
      <c r="B58">
        <v>10.35</v>
      </c>
      <c r="C58">
        <v>18.46</v>
      </c>
    </row>
    <row r="59" spans="1:3" x14ac:dyDescent="0.3">
      <c r="A59" s="4" t="s">
        <v>6</v>
      </c>
      <c r="B59">
        <v>87582.18</v>
      </c>
      <c r="C59">
        <v>177338.95</v>
      </c>
    </row>
    <row r="60" spans="1:3" x14ac:dyDescent="0.3">
      <c r="A60" s="4" t="s">
        <v>13</v>
      </c>
      <c r="B60">
        <v>969.9799999999999</v>
      </c>
      <c r="C60">
        <v>2874.92</v>
      </c>
    </row>
    <row r="61" spans="1:3" x14ac:dyDescent="0.3">
      <c r="A61" s="4" t="s">
        <v>30</v>
      </c>
      <c r="B61">
        <v>1.08</v>
      </c>
      <c r="C61">
        <v>3.11</v>
      </c>
    </row>
    <row r="62" spans="1:3" x14ac:dyDescent="0.3">
      <c r="A62" s="4" t="s">
        <v>15</v>
      </c>
      <c r="B62">
        <v>1.1099999999999999</v>
      </c>
      <c r="C62">
        <v>5.34</v>
      </c>
    </row>
    <row r="63" spans="1:3" x14ac:dyDescent="0.3">
      <c r="A63" s="4" t="s">
        <v>65</v>
      </c>
      <c r="B63">
        <v>0.63</v>
      </c>
      <c r="C63">
        <v>3.37</v>
      </c>
    </row>
    <row r="64" spans="1:3" x14ac:dyDescent="0.3">
      <c r="A64" s="4" t="s">
        <v>17</v>
      </c>
      <c r="B64">
        <v>54.5</v>
      </c>
      <c r="C64">
        <v>84.51</v>
      </c>
    </row>
    <row r="65" spans="1:3" x14ac:dyDescent="0.3">
      <c r="A65" s="4" t="s">
        <v>31</v>
      </c>
      <c r="B65">
        <v>21.08</v>
      </c>
      <c r="C65">
        <v>42.4</v>
      </c>
    </row>
    <row r="66" spans="1:3" x14ac:dyDescent="0.3">
      <c r="A66" s="4" t="s">
        <v>51</v>
      </c>
      <c r="B66">
        <v>0.2</v>
      </c>
      <c r="C66">
        <v>12.14</v>
      </c>
    </row>
    <row r="67" spans="1:3" x14ac:dyDescent="0.3">
      <c r="A67" s="4" t="s">
        <v>23</v>
      </c>
      <c r="B67">
        <v>52.35</v>
      </c>
      <c r="C67">
        <v>57.98</v>
      </c>
    </row>
    <row r="68" spans="1:3" x14ac:dyDescent="0.3">
      <c r="A68" s="4" t="s">
        <v>20</v>
      </c>
      <c r="B68">
        <v>8</v>
      </c>
      <c r="C68">
        <v>10.61</v>
      </c>
    </row>
    <row r="69" spans="1:3" x14ac:dyDescent="0.3">
      <c r="A69" s="4" t="s">
        <v>40</v>
      </c>
      <c r="B69">
        <v>0.35</v>
      </c>
      <c r="C69">
        <v>1.76</v>
      </c>
    </row>
    <row r="70" spans="1:3" x14ac:dyDescent="0.3">
      <c r="A70" s="4" t="s">
        <v>16</v>
      </c>
      <c r="B70">
        <v>2536.91</v>
      </c>
      <c r="C70">
        <v>829.96</v>
      </c>
    </row>
    <row r="71" spans="1:3" x14ac:dyDescent="0.3">
      <c r="A71" s="4" t="s">
        <v>7</v>
      </c>
      <c r="B71">
        <v>116</v>
      </c>
      <c r="C71">
        <v>606.79999999999995</v>
      </c>
    </row>
    <row r="72" spans="1:3" x14ac:dyDescent="0.3">
      <c r="A72" s="4" t="s">
        <v>21</v>
      </c>
      <c r="B72">
        <v>48</v>
      </c>
      <c r="C72">
        <v>62.28</v>
      </c>
    </row>
    <row r="73" spans="1:3" x14ac:dyDescent="0.3">
      <c r="A73" s="4" t="s">
        <v>29</v>
      </c>
      <c r="B73">
        <v>96</v>
      </c>
      <c r="C73">
        <v>200.7</v>
      </c>
    </row>
    <row r="74" spans="1:3" x14ac:dyDescent="0.3">
      <c r="A74" s="4" t="s">
        <v>14</v>
      </c>
      <c r="B74">
        <v>56</v>
      </c>
      <c r="C74">
        <v>39.33</v>
      </c>
    </row>
    <row r="75" spans="1:3" x14ac:dyDescent="0.3">
      <c r="A75" s="4" t="s">
        <v>55</v>
      </c>
      <c r="B75">
        <v>0.01</v>
      </c>
      <c r="C75">
        <v>0.6</v>
      </c>
    </row>
    <row r="76" spans="1:3" x14ac:dyDescent="0.3">
      <c r="A76" s="4" t="s">
        <v>84</v>
      </c>
      <c r="B76">
        <v>91555.07</v>
      </c>
      <c r="C76">
        <v>182193.44</v>
      </c>
    </row>
    <row r="79" spans="1:3" x14ac:dyDescent="0.3">
      <c r="A79" s="3" t="s">
        <v>83</v>
      </c>
      <c r="B79" t="s">
        <v>85</v>
      </c>
      <c r="C79" t="s">
        <v>86</v>
      </c>
    </row>
    <row r="80" spans="1:3" x14ac:dyDescent="0.3">
      <c r="A80" s="4" t="s">
        <v>88</v>
      </c>
      <c r="B80">
        <v>171096.40000000002</v>
      </c>
      <c r="C80">
        <v>84042.08</v>
      </c>
    </row>
    <row r="81" spans="1:3" x14ac:dyDescent="0.3">
      <c r="A81" s="4" t="s">
        <v>89</v>
      </c>
      <c r="B81">
        <v>4231.9599999999991</v>
      </c>
      <c r="C81">
        <v>4513.45</v>
      </c>
    </row>
    <row r="82" spans="1:3" x14ac:dyDescent="0.3">
      <c r="A82" s="4" t="s">
        <v>90</v>
      </c>
      <c r="B82">
        <v>6865.079999999999</v>
      </c>
      <c r="C82">
        <v>2999.54</v>
      </c>
    </row>
    <row r="83" spans="1:3" x14ac:dyDescent="0.3">
      <c r="A83" s="4" t="s">
        <v>84</v>
      </c>
      <c r="B83">
        <v>182193.44</v>
      </c>
      <c r="C83">
        <v>91555.069999999992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14D37F-471E-46C1-8E50-8620BF1C21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Shamu</cp:lastModifiedBy>
  <dcterms:created xsi:type="dcterms:W3CDTF">2026-04-10T07:44:51Z</dcterms:created>
  <dcterms:modified xsi:type="dcterms:W3CDTF">2026-04-10T13:37:18Z</dcterms:modified>
</cp:coreProperties>
</file>